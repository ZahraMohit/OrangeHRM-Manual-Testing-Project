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Cases'!$A$3:$J$38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<sst xmlns="http://schemas.openxmlformats.org/spreadsheetml/2006/main" count="368" uniqueCount="231">
  <si>
    <t xml:space="preserve">TEST CASES — OrangeHRM Demo Manual Testing (35 Cases)</t>
  </si>
  <si>
    <t xml:space="preserve">Test Case ID</t>
  </si>
  <si>
    <t xml:space="preserve">Module</t>
  </si>
  <si>
    <t xml:space="preserve">Title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</si>
  <si>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</si>
  <si>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</si>
  <si>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</si>
  <si>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</si>
  <si>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</si>
  <si>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</si>
  <si>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</si>
  <si>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TC_001</t>
  </si>
  <si>
    <t xml:space="preserve">Login</t>
  </si>
  <si>
    <t xml:space="preserve">Verify login with valid credentials</t>
  </si>
  <si>
    <t xml:space="preserve">User is on the OrangeHRM login page.</t>
  </si>
  <si>
    <t xml:space="preserve">1. Enter valid username
2. Enter valid password
3. Click Login button</t>
  </si>
  <si>
    <t xml:space="preserve">Username: Admin
Password: admin123</t>
  </si>
  <si>
    <t xml:space="preserve">User is successfully logged in and redirected to the Dashboard.</t>
  </si>
  <si>
    <t xml:space="preserve">Dashboard was displayed as expected.</t>
  </si>
  <si>
    <t xml:space="preserve">Passed</t>
  </si>
  <si>
    <t xml:space="preserve">High</t>
  </si>
  <si>
    <t xml:space="preserve">TC_002</t>
  </si>
  <si>
    <t xml:space="preserve">Verify login with invalid password</t>
  </si>
  <si>
    <t xml:space="preserve">1. Enter valid username
2. Enter invalid password
3. Click Login button</t>
  </si>
  <si>
    <t xml:space="preserve">Username: Admin
Password: wrongPass1</t>
  </si>
  <si>
    <t xml:space="preserve">System displays 'Invalid credentials' error and user stays on the login page.</t>
  </si>
  <si>
    <t xml:space="preserve">Error message displayed correctly.</t>
  </si>
  <si>
    <t xml:space="preserve">TC_003</t>
  </si>
  <si>
    <t xml:space="preserve">Verify login with invalid username</t>
  </si>
  <si>
    <t xml:space="preserve">1. Enter invalid username
2. Enter valid password
3. Click Login button</t>
  </si>
  <si>
    <t xml:space="preserve">Username: WrongUser
Password: admin123</t>
  </si>
  <si>
    <t xml:space="preserve">TC_004</t>
  </si>
  <si>
    <t xml:space="preserve">Verify login with both invalid username and password</t>
  </si>
  <si>
    <t xml:space="preserve">1. Enter invalid username
2. Enter invalid password
3. Click Login button</t>
  </si>
  <si>
    <t xml:space="preserve">Username: WrongUser
Password: wrongPass1</t>
  </si>
  <si>
    <t xml:space="preserve">TC_005</t>
  </si>
  <si>
    <t xml:space="preserve">Verify login with empty username field</t>
  </si>
  <si>
    <t xml:space="preserve">1. Leave username field empty
2. Enter valid password
3. Click Login button</t>
  </si>
  <si>
    <t xml:space="preserve">Username: (empty)
Password: admin123</t>
  </si>
  <si>
    <t xml:space="preserve">System displays a 'Required' validation message under the username field.</t>
  </si>
  <si>
    <t xml:space="preserve">Validation message displayed as expected.</t>
  </si>
  <si>
    <t xml:space="preserve">TC_006</t>
  </si>
  <si>
    <t xml:space="preserve">Verify login with empty password field</t>
  </si>
  <si>
    <t xml:space="preserve">1. Enter valid username
2. Leave password field empty
3. Click Login button</t>
  </si>
  <si>
    <t xml:space="preserve">Username: Admin
Password: (empty)</t>
  </si>
  <si>
    <t xml:space="preserve">System displays a 'Required' validation message under the password field.</t>
  </si>
  <si>
    <t xml:space="preserve">TC_007</t>
  </si>
  <si>
    <t xml:space="preserve">Verify login with both fields empty</t>
  </si>
  <si>
    <t xml:space="preserve">1. Leave username field empty
2. Leave password field empty
3. Click Login button</t>
  </si>
  <si>
    <t xml:space="preserve">Username: (empty)
Password: (empty)</t>
  </si>
  <si>
    <t xml:space="preserve">System displays 'Required' validation messages under both fields.</t>
  </si>
  <si>
    <t xml:space="preserve">Validation messages displayed as expected.</t>
  </si>
  <si>
    <t xml:space="preserve">TC_008</t>
  </si>
  <si>
    <t xml:space="preserve">Verify username field case sensitivity</t>
  </si>
  <si>
    <t xml:space="preserve">1. Enter username in a different case (e.g. lowercase)
2. Enter valid password
3. Click Login button</t>
  </si>
  <si>
    <t xml:space="preserve">Username: admin (lowercase)
Password: admin123</t>
  </si>
  <si>
    <t xml:space="preserve">Login behaves consistently with the application's documented case-sensitivity rule for username.</t>
  </si>
  <si>
    <t xml:space="preserve">Behavior matched the documented rule.</t>
  </si>
  <si>
    <t xml:space="preserve">Medium</t>
  </si>
  <si>
    <t xml:space="preserve">TC_009</t>
  </si>
  <si>
    <t xml:space="preserve">Verify password field case sensitivity</t>
  </si>
  <si>
    <t xml:space="preserve">1. Enter valid username
2. Enter password with changed letter case
3. Click Login button</t>
  </si>
  <si>
    <t xml:space="preserve">Username: Admin
Password: ADMIN123</t>
  </si>
  <si>
    <t xml:space="preserve">Login fails since password is case-sensitive; 'Invalid credentials' error is shown.</t>
  </si>
  <si>
    <t xml:space="preserve">TC_010</t>
  </si>
  <si>
    <t xml:space="preserve">Verify login form resists SQL injection attempt</t>
  </si>
  <si>
    <t xml:space="preserve">1. Enter SQL injection string in username field
2. Enter any password
3. Click Login button</t>
  </si>
  <si>
    <t xml:space="preserve">Username: ' OR '1'='1
Password: anything</t>
  </si>
  <si>
    <t xml:space="preserve">System rejects the input, shows 'Invalid credentials', and no unauthorized access occurs.</t>
  </si>
  <si>
    <t xml:space="preserve">Login was rejected; no security breach observed.</t>
  </si>
  <si>
    <t xml:space="preserve">TC_011</t>
  </si>
  <si>
    <t xml:space="preserve">Verify login by pressing Enter key</t>
  </si>
  <si>
    <t xml:space="preserve">1. Enter valid username
2. Enter valid password
3. Press Enter key instead of clicking Login</t>
  </si>
  <si>
    <t xml:space="preserve">Login is submitted via the Enter key and Dashboard is displayed.</t>
  </si>
  <si>
    <t xml:space="preserve">Login succeeded via Enter key as expected.</t>
  </si>
  <si>
    <t xml:space="preserve">TC_012</t>
  </si>
  <si>
    <t xml:space="preserve">Verify user can log out successfully</t>
  </si>
  <si>
    <t xml:space="preserve">User is logged in to the application.</t>
  </si>
  <si>
    <t xml:space="preserve">1. Click on user dropdown menu (top right)
2. Click 'Logout' option</t>
  </si>
  <si>
    <t xml:space="preserve">N/A</t>
  </si>
  <si>
    <t xml:space="preserve">User is logged out and redirected to the login page.</t>
  </si>
  <si>
    <t xml:space="preserve">Logout completed and login page displayed.</t>
  </si>
  <si>
    <t xml:space="preserve">TC_013</t>
  </si>
  <si>
    <t xml:space="preserve">User Management</t>
  </si>
  <si>
    <t xml:space="preserve">Verify adding a new user with valid information</t>
  </si>
  <si>
    <t xml:space="preserve">Admin is logged in and on the Admin &gt; User Management page.</t>
  </si>
  <si>
    <t xml:space="preserve">1. Click 'Add' button
2. Fill all required fields with valid data
3. Click Save</t>
  </si>
  <si>
    <t xml:space="preserve">User Role: ESS
Username: jsmith01
Password: Valid@Pass1
Status: Enabled</t>
  </si>
  <si>
    <t xml:space="preserve">New user is created successfully and appears in the System Users list.</t>
  </si>
  <si>
    <t xml:space="preserve">User was created and listed correctly.</t>
  </si>
  <si>
    <t xml:space="preserve">TC_014</t>
  </si>
  <si>
    <t xml:space="preserve">Verify required field validation on Add User form</t>
  </si>
  <si>
    <t xml:space="preserve">Admin is on the Add User form.</t>
  </si>
  <si>
    <t xml:space="preserve">1. Leave required fields empty
2. Click Save</t>
  </si>
  <si>
    <t xml:space="preserve">All required fields: (empty)</t>
  </si>
  <si>
    <t xml:space="preserve">System displays 'Required' validation messages for each mandatory field and does not save.</t>
  </si>
  <si>
    <t xml:space="preserve">Validation messages displayed correctly.</t>
  </si>
  <si>
    <t xml:space="preserve">TC_015</t>
  </si>
  <si>
    <t xml:space="preserve">Verify password and confirm-password mismatch</t>
  </si>
  <si>
    <t xml:space="preserve">1. Enter a password
2. Enter a different value in Confirm Password
3. Click Save</t>
  </si>
  <si>
    <t xml:space="preserve">Password: Valid@Pass1
Confirm Password: Valid@Pass2</t>
  </si>
  <si>
    <t xml:space="preserve">System displays 'Passwords do not match' error and does not save the user.</t>
  </si>
  <si>
    <t xml:space="preserve">TC_016</t>
  </si>
  <si>
    <t xml:space="preserve">Verify password field with Persian (non-Latin) characters</t>
  </si>
  <si>
    <t xml:space="preserve">1. Enter a password containing Persian characters
2. Confirm the same password
3. Click Save</t>
  </si>
  <si>
    <t xml:space="preserve">Password: رمزعبور123</t>
  </si>
  <si>
    <t xml:space="preserve">System should validate character set and either reject or clearly document accepted characters.</t>
  </si>
  <si>
    <t xml:space="preserve">System accepted the Persian-character password without a clear validation rule or warning.</t>
  </si>
  <si>
    <t xml:space="preserve">Failed</t>
  </si>
  <si>
    <t xml:space="preserve">TC_017</t>
  </si>
  <si>
    <t xml:space="preserve">Verify password field containing spaces</t>
  </si>
  <si>
    <t xml:space="preserve">1. Enter a password containing leading/trailing spaces
2. Confirm the same password
3. Click Save</t>
  </si>
  <si>
    <t xml:space="preserve">Password: ' Valid@Pass1 ' (with spaces)</t>
  </si>
  <si>
    <t xml:space="preserve">System trims or rejects spaces according to documented password policy.</t>
  </si>
  <si>
    <t xml:space="preserve">Behavior matched the documented password policy.</t>
  </si>
  <si>
    <t xml:space="preserve">TC_018</t>
  </si>
  <si>
    <t xml:space="preserve">Verify password longer than 64 characters</t>
  </si>
  <si>
    <t xml:space="preserve">1. Enter a password of 65+ characters
2. Confirm the same password
3. Click Save</t>
  </si>
  <si>
    <t xml:space="preserve">Password: 65-character string</t>
  </si>
  <si>
    <t xml:space="preserve">System enforces the maximum length limit and shows an appropriate validation message.</t>
  </si>
  <si>
    <t xml:space="preserve">Maximum length validation enforced as expected.</t>
  </si>
  <si>
    <t xml:space="preserve">TC_019</t>
  </si>
  <si>
    <t xml:space="preserve">Verify username longer than 30 characters</t>
  </si>
  <si>
    <t xml:space="preserve">1. Enter a username of 31+ characters
2. Fill remaining required fields
3. Click Save</t>
  </si>
  <si>
    <t xml:space="preserve">Username: 31-character string</t>
  </si>
  <si>
    <t xml:space="preserve">TC_020</t>
  </si>
  <si>
    <t xml:space="preserve">Verify search for an existing user</t>
  </si>
  <si>
    <t xml:space="preserve">At least one system user exists.</t>
  </si>
  <si>
    <t xml:space="preserve">1. Go to User Management list
2. Enter an existing username in the search field
3. Click Search</t>
  </si>
  <si>
    <t xml:space="preserve">Username: Admin</t>
  </si>
  <si>
    <t xml:space="preserve">Matching user record is displayed in the results grid.</t>
  </si>
  <si>
    <t xml:space="preserve">Correct user record was displayed.</t>
  </si>
  <si>
    <t xml:space="preserve">TC_021</t>
  </si>
  <si>
    <t xml:space="preserve">Verify search for a non-existing user</t>
  </si>
  <si>
    <t xml:space="preserve">User is on the User Management list page.</t>
  </si>
  <si>
    <t xml:space="preserve">1. Enter a username that does not exist
2. Click Search</t>
  </si>
  <si>
    <t xml:space="preserve">Username: NoSuchUser999</t>
  </si>
  <si>
    <t xml:space="preserve">System displays 'No Records Found' message and an empty results grid.</t>
  </si>
  <si>
    <t xml:space="preserve">'No Records Found' message displayed correctly.</t>
  </si>
  <si>
    <t xml:space="preserve">TC_022</t>
  </si>
  <si>
    <t xml:space="preserve">Verify editing an existing user</t>
  </si>
  <si>
    <t xml:space="preserve">1. Select a user from the list
2. Click Edit
3. Modify a field (e.g. Status)
4. Click Save</t>
  </si>
  <si>
    <t xml:space="preserve">Status changed from Enabled to Disabled</t>
  </si>
  <si>
    <t xml:space="preserve">User record is updated and the change is reflected in the list.</t>
  </si>
  <si>
    <t xml:space="preserve">User record updated successfully.</t>
  </si>
  <si>
    <t xml:space="preserve">TC_023</t>
  </si>
  <si>
    <t xml:space="preserve">Verify deleting an existing user</t>
  </si>
  <si>
    <t xml:space="preserve">At least one system user exists (not the currently logged-in admin).</t>
  </si>
  <si>
    <t xml:space="preserve">1. Select a user from the list
2. Click Delete
3. Confirm deletion in the dialog</t>
  </si>
  <si>
    <t xml:space="preserve">User is removed from the System Users list.</t>
  </si>
  <si>
    <t xml:space="preserve">User was deleted and removed from the list.</t>
  </si>
  <si>
    <t xml:space="preserve">TC_024</t>
  </si>
  <si>
    <t xml:space="preserve">Verify cancelling the Add User action</t>
  </si>
  <si>
    <t xml:space="preserve">Admin is on the Add User form with data entered.</t>
  </si>
  <si>
    <t xml:space="preserve">1. Fill in some fields
2. Click Cancel button</t>
  </si>
  <si>
    <t xml:space="preserve">Username: TempUser (partially filled)</t>
  </si>
  <si>
    <t xml:space="preserve">Form is discarded, no new user is created, and user returns to the User Management list.</t>
  </si>
  <si>
    <t xml:space="preserve">Cancel worked correctly with no user created.</t>
  </si>
  <si>
    <t xml:space="preserve">Low</t>
  </si>
  <si>
    <t xml:space="preserve">TC_025</t>
  </si>
  <si>
    <t xml:space="preserve">My Info</t>
  </si>
  <si>
    <t xml:space="preserve">Verify updating personal information</t>
  </si>
  <si>
    <t xml:space="preserve">User is logged in and on the My Info &gt; Personal Details page.</t>
  </si>
  <si>
    <t xml:space="preserve">1. Update a field (e.g. Employee Last Name)
2. Click Save</t>
  </si>
  <si>
    <t xml:space="preserve">Last Name: Mohammadi (updated value)</t>
  </si>
  <si>
    <t xml:space="preserve">Personal information is updated and confirmation message is shown.</t>
  </si>
  <si>
    <t xml:space="preserve">Information updated and confirmation displayed.</t>
  </si>
  <si>
    <t xml:space="preserve">TC_026</t>
  </si>
  <si>
    <t xml:space="preserve">Verify Date of Birth field rejects a future date</t>
  </si>
  <si>
    <t xml:space="preserve">User is on the My Info &gt; Personal Details page.</t>
  </si>
  <si>
    <t xml:space="preserve">1. Open Date of Birth field
2. Enter a date in the future
3. Click Save</t>
  </si>
  <si>
    <t xml:space="preserve">Date of Birth: 01-Jan-2030</t>
  </si>
  <si>
    <t xml:space="preserve">System rejects the future date and displays a validation message.</t>
  </si>
  <si>
    <t xml:space="preserve">TC_027</t>
  </si>
  <si>
    <t xml:space="preserve">Verify Date of Birth field rejects unrealistic year (1247)</t>
  </si>
  <si>
    <t xml:space="preserve">1. Open Date of Birth field
2. Enter an unrealistic year
3. Click Save</t>
  </si>
  <si>
    <t xml:space="preserve">Date of Birth: 01-Jan-1247</t>
  </si>
  <si>
    <t xml:space="preserve">System rejects unrealistic birth years and displays a validation message.</t>
  </si>
  <si>
    <t xml:space="preserve">System accepted the year 1247 without any validation error.</t>
  </si>
  <si>
    <t xml:space="preserve">TC_028</t>
  </si>
  <si>
    <t xml:space="preserve">Verify First Name field rejects numeric input</t>
  </si>
  <si>
    <t xml:space="preserve">1. Enter a numeric value in the First Name field
2. Click Save</t>
  </si>
  <si>
    <t xml:space="preserve">First Name: 12345</t>
  </si>
  <si>
    <t xml:space="preserve">System rejects numeric characters in the name field and shows a validation message.</t>
  </si>
  <si>
    <t xml:space="preserve">TC_029</t>
  </si>
  <si>
    <t xml:space="preserve">Verify Nationality field left empty</t>
  </si>
  <si>
    <t xml:space="preserve">1. Clear/leave the Nationality field empty
2. Click Save</t>
  </si>
  <si>
    <t xml:space="preserve">Nationality: (empty)</t>
  </si>
  <si>
    <t xml:space="preserve">System either saves successfully (optional field) or shows a clear validation message, per spec.</t>
  </si>
  <si>
    <t xml:space="preserve">Behavior matched the field's documented optional/required status.</t>
  </si>
  <si>
    <t xml:space="preserve">TC_030</t>
  </si>
  <si>
    <t xml:space="preserve">Verify Marital Status field left empty</t>
  </si>
  <si>
    <t xml:space="preserve">1. Leave Marital Status unselected
2. Click Save</t>
  </si>
  <si>
    <t xml:space="preserve">Marital Status: (not selected)</t>
  </si>
  <si>
    <t xml:space="preserve">TC_031</t>
  </si>
  <si>
    <t xml:space="preserve">Verify invalid Employee ID format</t>
  </si>
  <si>
    <t xml:space="preserve">1. Enter an Employee ID in an invalid format (e.g. letters/symbols where not allowed)
2. Click Save</t>
  </si>
  <si>
    <t xml:space="preserve">Employee ID: !!ID@@</t>
  </si>
  <si>
    <t xml:space="preserve">System validates the format and displays an appropriate error message.</t>
  </si>
  <si>
    <t xml:space="preserve">TC_032</t>
  </si>
  <si>
    <t xml:space="preserve">Verify Driver's License field accepts only expected value type</t>
  </si>
  <si>
    <t xml:space="preserve">1. Enter free text in the Driver's License Number field
2. Click Save</t>
  </si>
  <si>
    <t xml:space="preserve">Driver's License Number: TestTextValue123</t>
  </si>
  <si>
    <t xml:space="preserve">System accepts/rejects the value consistently with the field's documented format rules.</t>
  </si>
  <si>
    <t xml:space="preserve">Field behaved consistently with documented rules.</t>
  </si>
  <si>
    <t xml:space="preserve">TC_033</t>
  </si>
  <si>
    <t xml:space="preserve">Verify Save action with no changes made</t>
  </si>
  <si>
    <t xml:space="preserve">User is on the My Info &gt; Personal Details page with existing data loaded.</t>
  </si>
  <si>
    <t xml:space="preserve">1. Do not modify any field
2. Click Save</t>
  </si>
  <si>
    <t xml:space="preserve">System saves without error, or clearly indicates no changes were made.</t>
  </si>
  <si>
    <t xml:space="preserve">Save completed with no unexpected errors.</t>
  </si>
  <si>
    <t xml:space="preserve">TC_034</t>
  </si>
  <si>
    <t xml:space="preserve">Exploratory</t>
  </si>
  <si>
    <t xml:space="preserve">Boundary testing across key input fields</t>
  </si>
  <si>
    <t xml:space="preserve">User has access to Login, User Management, and My Info forms.</t>
  </si>
  <si>
    <t xml:space="preserve">1. Enter minimum-length and maximum-length values across key text fields
2. Submit each form</t>
  </si>
  <si>
    <t xml:space="preserve">Min/max length values per field spec</t>
  </si>
  <si>
    <t xml:space="preserve">All fields enforce their documented minimum and maximum boundaries consistently.</t>
  </si>
  <si>
    <t xml:space="preserve">Boundary limits enforced consistently across tested fields.</t>
  </si>
  <si>
    <t xml:space="preserve">TC_035</t>
  </si>
  <si>
    <t xml:space="preserve">General exploratory testing with unexpected inputs</t>
  </si>
  <si>
    <t xml:space="preserve">User has access to the core in-scope modules.</t>
  </si>
  <si>
    <t xml:space="preserve">1. Freely explore Login, User Management, and My Info using unexpected/invalid inputs (special characters, very long strings, rapid repeated clicks)
2. Observe application behavior</t>
  </si>
  <si>
    <t xml:space="preserve">Various invalid/unexpected inputs</t>
  </si>
  <si>
    <t xml:space="preserve">Application handles unexpected input gracefully without crashing or exposing errors.</t>
  </si>
  <si>
    <t xml:space="preserve">No crashes observed; application handled unexpected input gracefully.</t>
  </si>
  <si>
    <t xml:space="preserve">TEST EXECUTION SUMMARY</t>
  </si>
  <si>
    <t xml:space="preserve">Total Test Cases</t>
  </si>
  <si>
    <t xml:space="preserve">Blocked</t>
  </si>
  <si>
    <t xml:space="preserve">Not Executed</t>
  </si>
  <si>
    <t xml:space="preserve">Pass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</si>
</sst>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563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E563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2E8B57"/>
        <bgColor rgb="FF008080"/>
      </patternFill>
    </fill>
    <fill>
      <patternFill patternType="solid">
        <fgColor rgb="FFEAF3EA"/>
        <bgColor rgb="FFE8F0E4"/>
      </patternFill>
    </fill>
    <fill>
      <patternFill patternType="solid">
        <fgColor rgb="FFE3F2E9"/>
        <bgColor rgb="FFE8F0E4"/>
      </patternFill>
    </fill>
    <fill>
      <patternFill patternType="solid">
        <fgColor rgb="FFF0F7F0"/>
        <bgColor rgb="FFEAF3EA"/>
      </patternFill>
    </fill>
    <fill>
      <patternFill patternType="solid">
        <fgColor rgb="FFE8F0E4"/>
        <bgColor rgb="FFEA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E8B57"/>
          <bgColor rgb="FF000000"/>
        </patternFill>
      </fill>
    </dxf>
    <dxf>
      <fill>
        <patternFill patternType="solid">
          <fgColor rgb="FFE3F2E9"/>
          <bgColor rgb="FF000000"/>
        </patternFill>
      </fill>
    </dxf>
    <dxf>
      <fill>
        <patternFill patternType="solid">
          <fgColor rgb="FFE8F0E4"/>
          <bgColor rgb="FF000000"/>
        </patternFill>
      </fill>
    </dxf>
    <dxf>
      <fill>
        <patternFill patternType="solid">
          <fgColor rgb="FFEAF3EA"/>
          <bgColor rgb="FF000000"/>
        </patternFill>
      </fill>
    </dxf>
    <dxf>
      <fill>
        <patternFill patternType="solid">
          <fgColor rgb="FFF0F7F0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5B7B1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F3CF"/>
      <rgbColor rgb="FFE3F2E9"/>
      <rgbColor rgb="FF660066"/>
      <rgbColor rgb="FFFF8080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A"/>
      <rgbColor rgb="FFC8E6C9"/>
      <rgbColor rgb="FFE8F0E4"/>
      <rgbColor rgb="FFF0F7F0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10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94.5" hidden="false" customHeight="true" outlineLevel="0" collapsed="false">
      <c r="A4" s="3" t="s">
        <v>11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4" t="s">
        <v>19</v>
      </c>
      <c r="J4" s="4" t="s">
        <v>20</v>
      </c>
    </row>
    <row r="5" customFormat="false" ht="94.5" hidden="false" customHeight="true" outlineLevel="0" collapsed="false">
      <c r="A5" s="3" t="s">
        <v>21</v>
      </c>
      <c r="B5" s="4" t="s">
        <v>12</v>
      </c>
      <c r="C5" s="5" t="s">
        <v>22</v>
      </c>
      <c r="D5" s="5" t="s">
        <v>14</v>
      </c>
      <c r="E5" s="5" t="s">
        <v>23</v>
      </c>
      <c r="F5" s="5" t="s">
        <v>24</v>
      </c>
      <c r="G5" s="5" t="s">
        <v>25</v>
      </c>
      <c r="H5" s="5" t="s">
        <v>26</v>
      </c>
      <c r="I5" s="4" t="s">
        <v>19</v>
      </c>
      <c r="J5" s="4" t="s">
        <v>20</v>
      </c>
    </row>
    <row r="6" customFormat="false" ht="94.5" hidden="false" customHeight="true" outlineLevel="0" collapsed="false">
      <c r="A6" s="3" t="s">
        <v>27</v>
      </c>
      <c r="B6" s="4" t="s">
        <v>12</v>
      </c>
      <c r="C6" s="5" t="s">
        <v>28</v>
      </c>
      <c r="D6" s="5" t="s">
        <v>14</v>
      </c>
      <c r="E6" s="5" t="s">
        <v>29</v>
      </c>
      <c r="F6" s="5" t="s">
        <v>30</v>
      </c>
      <c r="G6" s="5" t="s">
        <v>25</v>
      </c>
      <c r="H6" s="5" t="s">
        <v>26</v>
      </c>
      <c r="I6" s="4" t="s">
        <v>19</v>
      </c>
      <c r="J6" s="4" t="s">
        <v>20</v>
      </c>
    </row>
    <row r="7" customFormat="false" ht="94.5" hidden="false" customHeight="true" outlineLevel="0" collapsed="false">
      <c r="A7" s="3" t="s">
        <v>31</v>
      </c>
      <c r="B7" s="4" t="s">
        <v>12</v>
      </c>
      <c r="C7" s="5" t="s">
        <v>32</v>
      </c>
      <c r="D7" s="5" t="s">
        <v>14</v>
      </c>
      <c r="E7" s="5" t="s">
        <v>33</v>
      </c>
      <c r="F7" s="5" t="s">
        <v>34</v>
      </c>
      <c r="G7" s="5" t="s">
        <v>25</v>
      </c>
      <c r="H7" s="5" t="s">
        <v>26</v>
      </c>
      <c r="I7" s="4" t="s">
        <v>19</v>
      </c>
      <c r="J7" s="4" t="s">
        <v>20</v>
      </c>
    </row>
    <row r="8" customFormat="false" ht="94.5" hidden="false" customHeight="true" outlineLevel="0" collapsed="false">
      <c r="A8" s="3" t="s">
        <v>35</v>
      </c>
      <c r="B8" s="4" t="s">
        <v>12</v>
      </c>
      <c r="C8" s="5" t="s">
        <v>36</v>
      </c>
      <c r="D8" s="5" t="s">
        <v>14</v>
      </c>
      <c r="E8" s="5" t="s">
        <v>37</v>
      </c>
      <c r="F8" s="5" t="s">
        <v>38</v>
      </c>
      <c r="G8" s="5" t="s">
        <v>39</v>
      </c>
      <c r="H8" s="5" t="s">
        <v>40</v>
      </c>
      <c r="I8" s="4" t="s">
        <v>19</v>
      </c>
      <c r="J8" s="4" t="s">
        <v>20</v>
      </c>
    </row>
    <row r="9" customFormat="false" ht="94.5" hidden="false" customHeight="true" outlineLevel="0" collapsed="false">
      <c r="A9" s="3" t="s">
        <v>41</v>
      </c>
      <c r="B9" s="4" t="s">
        <v>12</v>
      </c>
      <c r="C9" s="5" t="s">
        <v>42</v>
      </c>
      <c r="D9" s="5" t="s">
        <v>14</v>
      </c>
      <c r="E9" s="5" t="s">
        <v>43</v>
      </c>
      <c r="F9" s="5" t="s">
        <v>44</v>
      </c>
      <c r="G9" s="5" t="s">
        <v>45</v>
      </c>
      <c r="H9" s="5" t="s">
        <v>40</v>
      </c>
      <c r="I9" s="4" t="s">
        <v>19</v>
      </c>
      <c r="J9" s="4" t="s">
        <v>20</v>
      </c>
    </row>
    <row r="10" customFormat="false" ht="94.5" hidden="false" customHeight="true" outlineLevel="0" collapsed="false">
      <c r="A10" s="3" t="s">
        <v>46</v>
      </c>
      <c r="B10" s="4" t="s">
        <v>12</v>
      </c>
      <c r="C10" s="5" t="s">
        <v>47</v>
      </c>
      <c r="D10" s="5" t="s">
        <v>14</v>
      </c>
      <c r="E10" s="5" t="s">
        <v>48</v>
      </c>
      <c r="F10" s="5" t="s">
        <v>49</v>
      </c>
      <c r="G10" s="5" t="s">
        <v>50</v>
      </c>
      <c r="H10" s="5" t="s">
        <v>51</v>
      </c>
      <c r="I10" s="4" t="s">
        <v>19</v>
      </c>
      <c r="J10" s="4" t="s">
        <v>20</v>
      </c>
    </row>
    <row r="11" customFormat="false" ht="94.5" hidden="false" customHeight="true" outlineLevel="0" collapsed="false">
      <c r="A11" s="3" t="s">
        <v>52</v>
      </c>
      <c r="B11" s="4" t="s">
        <v>12</v>
      </c>
      <c r="C11" s="5" t="s">
        <v>53</v>
      </c>
      <c r="D11" s="5" t="s">
        <v>14</v>
      </c>
      <c r="E11" s="5" t="s">
        <v>54</v>
      </c>
      <c r="F11" s="5" t="s">
        <v>55</v>
      </c>
      <c r="G11" s="5" t="s">
        <v>56</v>
      </c>
      <c r="H11" s="5" t="s">
        <v>57</v>
      </c>
      <c r="I11" s="4" t="s">
        <v>19</v>
      </c>
      <c r="J11" s="4" t="s">
        <v>58</v>
      </c>
    </row>
    <row r="12" customFormat="false" ht="94.5" hidden="false" customHeight="true" outlineLevel="0" collapsed="false">
      <c r="A12" s="3" t="s">
        <v>59</v>
      </c>
      <c r="B12" s="4" t="s">
        <v>12</v>
      </c>
      <c r="C12" s="5" t="s">
        <v>60</v>
      </c>
      <c r="D12" s="5" t="s">
        <v>14</v>
      </c>
      <c r="E12" s="5" t="s">
        <v>61</v>
      </c>
      <c r="F12" s="5" t="s">
        <v>62</v>
      </c>
      <c r="G12" s="5" t="s">
        <v>63</v>
      </c>
      <c r="H12" s="5" t="s">
        <v>26</v>
      </c>
      <c r="I12" s="4" t="s">
        <v>19</v>
      </c>
      <c r="J12" s="4" t="s">
        <v>20</v>
      </c>
    </row>
    <row r="13" customFormat="false" ht="94.5" hidden="false" customHeight="true" outlineLevel="0" collapsed="false">
      <c r="A13" s="3" t="s">
        <v>64</v>
      </c>
      <c r="B13" s="4" t="s">
        <v>12</v>
      </c>
      <c r="C13" s="5" t="s">
        <v>65</v>
      </c>
      <c r="D13" s="5" t="s">
        <v>14</v>
      </c>
      <c r="E13" s="5" t="s">
        <v>66</v>
      </c>
      <c r="F13" s="5" t="s">
        <v>67</v>
      </c>
      <c r="G13" s="5" t="s">
        <v>68</v>
      </c>
      <c r="H13" s="5" t="s">
        <v>69</v>
      </c>
      <c r="I13" s="4" t="s">
        <v>19</v>
      </c>
      <c r="J13" s="4" t="s">
        <v>20</v>
      </c>
    </row>
    <row r="14" customFormat="false" ht="94.5" hidden="false" customHeight="true" outlineLevel="0" collapsed="false">
      <c r="A14" s="3" t="s">
        <v>70</v>
      </c>
      <c r="B14" s="4" t="s">
        <v>12</v>
      </c>
      <c r="C14" s="5" t="s">
        <v>71</v>
      </c>
      <c r="D14" s="5" t="s">
        <v>14</v>
      </c>
      <c r="E14" s="5" t="s">
        <v>72</v>
      </c>
      <c r="F14" s="5" t="s">
        <v>16</v>
      </c>
      <c r="G14" s="5" t="s">
        <v>73</v>
      </c>
      <c r="H14" s="5" t="s">
        <v>74</v>
      </c>
      <c r="I14" s="4" t="s">
        <v>19</v>
      </c>
      <c r="J14" s="4" t="s">
        <v>58</v>
      </c>
    </row>
    <row r="15" customFormat="false" ht="94.5" hidden="false" customHeight="true" outlineLevel="0" collapsed="false">
      <c r="A15" s="3" t="s">
        <v>75</v>
      </c>
      <c r="B15" s="4" t="s">
        <v>12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80</v>
      </c>
      <c r="H15" s="5" t="s">
        <v>81</v>
      </c>
      <c r="I15" s="4" t="s">
        <v>19</v>
      </c>
      <c r="J15" s="4" t="s">
        <v>20</v>
      </c>
    </row>
    <row r="16" customFormat="false" ht="94.5" hidden="false" customHeight="true" outlineLevel="0" collapsed="false">
      <c r="A16" s="6" t="s">
        <v>82</v>
      </c>
      <c r="B16" s="7" t="s">
        <v>83</v>
      </c>
      <c r="C16" s="8" t="s">
        <v>84</v>
      </c>
      <c r="D16" s="8" t="s">
        <v>85</v>
      </c>
      <c r="E16" s="8" t="s">
        <v>86</v>
      </c>
      <c r="F16" s="8" t="s">
        <v>87</v>
      </c>
      <c r="G16" s="8" t="s">
        <v>88</v>
      </c>
      <c r="H16" s="8" t="s">
        <v>89</v>
      </c>
      <c r="I16" s="7" t="s">
        <v>19</v>
      </c>
      <c r="J16" s="7" t="s">
        <v>20</v>
      </c>
    </row>
    <row r="17" customFormat="false" ht="94.5" hidden="false" customHeight="true" outlineLevel="0" collapsed="false">
      <c r="A17" s="6" t="s">
        <v>90</v>
      </c>
      <c r="B17" s="7" t="s">
        <v>83</v>
      </c>
      <c r="C17" s="8" t="s">
        <v>91</v>
      </c>
      <c r="D17" s="8" t="s">
        <v>92</v>
      </c>
      <c r="E17" s="8" t="s">
        <v>93</v>
      </c>
      <c r="F17" s="8" t="s">
        <v>94</v>
      </c>
      <c r="G17" s="8" t="s">
        <v>95</v>
      </c>
      <c r="H17" s="8" t="s">
        <v>96</v>
      </c>
      <c r="I17" s="7" t="s">
        <v>19</v>
      </c>
      <c r="J17" s="7" t="s">
        <v>20</v>
      </c>
    </row>
    <row r="18" customFormat="false" ht="94.5" hidden="false" customHeight="true" outlineLevel="0" collapsed="false">
      <c r="A18" s="6" t="s">
        <v>97</v>
      </c>
      <c r="B18" s="7" t="s">
        <v>83</v>
      </c>
      <c r="C18" s="8" t="s">
        <v>98</v>
      </c>
      <c r="D18" s="8" t="s">
        <v>92</v>
      </c>
      <c r="E18" s="8" t="s">
        <v>99</v>
      </c>
      <c r="F18" s="8" t="s">
        <v>100</v>
      </c>
      <c r="G18" s="8" t="s">
        <v>101</v>
      </c>
      <c r="H18" s="8" t="s">
        <v>26</v>
      </c>
      <c r="I18" s="7" t="s">
        <v>19</v>
      </c>
      <c r="J18" s="7" t="s">
        <v>20</v>
      </c>
    </row>
    <row r="19" customFormat="false" ht="94.5" hidden="false" customHeight="true" outlineLevel="0" collapsed="false">
      <c r="A19" s="6" t="s">
        <v>102</v>
      </c>
      <c r="B19" s="7" t="s">
        <v>83</v>
      </c>
      <c r="C19" s="8" t="s">
        <v>103</v>
      </c>
      <c r="D19" s="8" t="s">
        <v>92</v>
      </c>
      <c r="E19" s="8" t="s">
        <v>104</v>
      </c>
      <c r="F19" s="8" t="s">
        <v>105</v>
      </c>
      <c r="G19" s="8" t="s">
        <v>106</v>
      </c>
      <c r="H19" s="8" t="s">
        <v>107</v>
      </c>
      <c r="I19" s="7" t="s">
        <v>108</v>
      </c>
      <c r="J19" s="7" t="s">
        <v>58</v>
      </c>
    </row>
    <row r="20" customFormat="false" ht="94.5" hidden="false" customHeight="true" outlineLevel="0" collapsed="false">
      <c r="A20" s="6" t="s">
        <v>109</v>
      </c>
      <c r="B20" s="7" t="s">
        <v>83</v>
      </c>
      <c r="C20" s="8" t="s">
        <v>110</v>
      </c>
      <c r="D20" s="8" t="s">
        <v>92</v>
      </c>
      <c r="E20" s="8" t="s">
        <v>111</v>
      </c>
      <c r="F20" s="8" t="s">
        <v>112</v>
      </c>
      <c r="G20" s="8" t="s">
        <v>113</v>
      </c>
      <c r="H20" s="8" t="s">
        <v>114</v>
      </c>
      <c r="I20" s="7" t="s">
        <v>19</v>
      </c>
      <c r="J20" s="7" t="s">
        <v>58</v>
      </c>
    </row>
    <row r="21" customFormat="false" ht="94.5" hidden="false" customHeight="true" outlineLevel="0" collapsed="false">
      <c r="A21" s="6" t="s">
        <v>115</v>
      </c>
      <c r="B21" s="7" t="s">
        <v>83</v>
      </c>
      <c r="C21" s="8" t="s">
        <v>116</v>
      </c>
      <c r="D21" s="8" t="s">
        <v>92</v>
      </c>
      <c r="E21" s="8" t="s">
        <v>117</v>
      </c>
      <c r="F21" s="8" t="s">
        <v>118</v>
      </c>
      <c r="G21" s="8" t="s">
        <v>119</v>
      </c>
      <c r="H21" s="8" t="s">
        <v>120</v>
      </c>
      <c r="I21" s="7" t="s">
        <v>19</v>
      </c>
      <c r="J21" s="7" t="s">
        <v>58</v>
      </c>
    </row>
    <row r="22" customFormat="false" ht="94.5" hidden="false" customHeight="true" outlineLevel="0" collapsed="false">
      <c r="A22" s="6" t="s">
        <v>121</v>
      </c>
      <c r="B22" s="7" t="s">
        <v>83</v>
      </c>
      <c r="C22" s="8" t="s">
        <v>122</v>
      </c>
      <c r="D22" s="8" t="s">
        <v>92</v>
      </c>
      <c r="E22" s="8" t="s">
        <v>123</v>
      </c>
      <c r="F22" s="8" t="s">
        <v>124</v>
      </c>
      <c r="G22" s="8" t="s">
        <v>119</v>
      </c>
      <c r="H22" s="8" t="s">
        <v>120</v>
      </c>
      <c r="I22" s="7" t="s">
        <v>19</v>
      </c>
      <c r="J22" s="7" t="s">
        <v>58</v>
      </c>
    </row>
    <row r="23" customFormat="false" ht="94.5" hidden="false" customHeight="true" outlineLevel="0" collapsed="false">
      <c r="A23" s="6" t="s">
        <v>125</v>
      </c>
      <c r="B23" s="7" t="s">
        <v>83</v>
      </c>
      <c r="C23" s="8" t="s">
        <v>126</v>
      </c>
      <c r="D23" s="8" t="s">
        <v>127</v>
      </c>
      <c r="E23" s="8" t="s">
        <v>128</v>
      </c>
      <c r="F23" s="8" t="s">
        <v>129</v>
      </c>
      <c r="G23" s="8" t="s">
        <v>130</v>
      </c>
      <c r="H23" s="8" t="s">
        <v>131</v>
      </c>
      <c r="I23" s="7" t="s">
        <v>19</v>
      </c>
      <c r="J23" s="7" t="s">
        <v>58</v>
      </c>
    </row>
    <row r="24" customFormat="false" ht="94.5" hidden="false" customHeight="true" outlineLevel="0" collapsed="false">
      <c r="A24" s="6" t="s">
        <v>132</v>
      </c>
      <c r="B24" s="7" t="s">
        <v>83</v>
      </c>
      <c r="C24" s="8" t="s">
        <v>133</v>
      </c>
      <c r="D24" s="8" t="s">
        <v>134</v>
      </c>
      <c r="E24" s="8" t="s">
        <v>135</v>
      </c>
      <c r="F24" s="8" t="s">
        <v>136</v>
      </c>
      <c r="G24" s="8" t="s">
        <v>137</v>
      </c>
      <c r="H24" s="8" t="s">
        <v>138</v>
      </c>
      <c r="I24" s="7" t="s">
        <v>19</v>
      </c>
      <c r="J24" s="7" t="s">
        <v>58</v>
      </c>
    </row>
    <row r="25" customFormat="false" ht="94.5" hidden="false" customHeight="true" outlineLevel="0" collapsed="false">
      <c r="A25" s="6" t="s">
        <v>139</v>
      </c>
      <c r="B25" s="7" t="s">
        <v>83</v>
      </c>
      <c r="C25" s="8" t="s">
        <v>140</v>
      </c>
      <c r="D25" s="8" t="s">
        <v>127</v>
      </c>
      <c r="E25" s="8" t="s">
        <v>141</v>
      </c>
      <c r="F25" s="8" t="s">
        <v>142</v>
      </c>
      <c r="G25" s="8" t="s">
        <v>143</v>
      </c>
      <c r="H25" s="8" t="s">
        <v>144</v>
      </c>
      <c r="I25" s="7" t="s">
        <v>19</v>
      </c>
      <c r="J25" s="7" t="s">
        <v>20</v>
      </c>
    </row>
    <row r="26" customFormat="false" ht="94.5" hidden="false" customHeight="true" outlineLevel="0" collapsed="false">
      <c r="A26" s="6" t="s">
        <v>145</v>
      </c>
      <c r="B26" s="7" t="s">
        <v>83</v>
      </c>
      <c r="C26" s="8" t="s">
        <v>146</v>
      </c>
      <c r="D26" s="8" t="s">
        <v>147</v>
      </c>
      <c r="E26" s="8" t="s">
        <v>148</v>
      </c>
      <c r="F26" s="8" t="s">
        <v>79</v>
      </c>
      <c r="G26" s="8" t="s">
        <v>149</v>
      </c>
      <c r="H26" s="8" t="s">
        <v>150</v>
      </c>
      <c r="I26" s="7" t="s">
        <v>19</v>
      </c>
      <c r="J26" s="7" t="s">
        <v>20</v>
      </c>
    </row>
    <row r="27" customFormat="false" ht="94.5" hidden="false" customHeight="true" outlineLevel="0" collapsed="false">
      <c r="A27" s="6" t="s">
        <v>151</v>
      </c>
      <c r="B27" s="7" t="s">
        <v>83</v>
      </c>
      <c r="C27" s="8" t="s">
        <v>152</v>
      </c>
      <c r="D27" s="8" t="s">
        <v>153</v>
      </c>
      <c r="E27" s="8" t="s">
        <v>154</v>
      </c>
      <c r="F27" s="8" t="s">
        <v>155</v>
      </c>
      <c r="G27" s="8" t="s">
        <v>156</v>
      </c>
      <c r="H27" s="8" t="s">
        <v>157</v>
      </c>
      <c r="I27" s="7" t="s">
        <v>19</v>
      </c>
      <c r="J27" s="7" t="s">
        <v>158</v>
      </c>
    </row>
    <row r="28" customFormat="false" ht="94.5" hidden="false" customHeight="true" outlineLevel="0" collapsed="false">
      <c r="A28" s="9" t="s">
        <v>159</v>
      </c>
      <c r="B28" s="10" t="s">
        <v>160</v>
      </c>
      <c r="C28" s="11" t="s">
        <v>161</v>
      </c>
      <c r="D28" s="11" t="s">
        <v>162</v>
      </c>
      <c r="E28" s="11" t="s">
        <v>163</v>
      </c>
      <c r="F28" s="11" t="s">
        <v>164</v>
      </c>
      <c r="G28" s="11" t="s">
        <v>165</v>
      </c>
      <c r="H28" s="11" t="s">
        <v>166</v>
      </c>
      <c r="I28" s="10" t="s">
        <v>19</v>
      </c>
      <c r="J28" s="10" t="s">
        <v>20</v>
      </c>
    </row>
    <row r="29" customFormat="false" ht="94.5" hidden="false" customHeight="true" outlineLevel="0" collapsed="false">
      <c r="A29" s="9" t="s">
        <v>167</v>
      </c>
      <c r="B29" s="10" t="s">
        <v>160</v>
      </c>
      <c r="C29" s="11" t="s">
        <v>168</v>
      </c>
      <c r="D29" s="11" t="s">
        <v>169</v>
      </c>
      <c r="E29" s="11" t="s">
        <v>170</v>
      </c>
      <c r="F29" s="11" t="s">
        <v>171</v>
      </c>
      <c r="G29" s="11" t="s">
        <v>172</v>
      </c>
      <c r="H29" s="11" t="s">
        <v>40</v>
      </c>
      <c r="I29" s="10" t="s">
        <v>19</v>
      </c>
      <c r="J29" s="10" t="s">
        <v>20</v>
      </c>
    </row>
    <row r="30" customFormat="false" ht="94.5" hidden="false" customHeight="true" outlineLevel="0" collapsed="false">
      <c r="A30" s="9" t="s">
        <v>173</v>
      </c>
      <c r="B30" s="10" t="s">
        <v>160</v>
      </c>
      <c r="C30" s="11" t="s">
        <v>174</v>
      </c>
      <c r="D30" s="11" t="s">
        <v>169</v>
      </c>
      <c r="E30" s="11" t="s">
        <v>175</v>
      </c>
      <c r="F30" s="11" t="s">
        <v>176</v>
      </c>
      <c r="G30" s="11" t="s">
        <v>177</v>
      </c>
      <c r="H30" s="11" t="s">
        <v>178</v>
      </c>
      <c r="I30" s="10" t="s">
        <v>108</v>
      </c>
      <c r="J30" s="10" t="s">
        <v>58</v>
      </c>
    </row>
    <row r="31" customFormat="false" ht="94.5" hidden="false" customHeight="true" outlineLevel="0" collapsed="false">
      <c r="A31" s="9" t="s">
        <v>179</v>
      </c>
      <c r="B31" s="10" t="s">
        <v>160</v>
      </c>
      <c r="C31" s="11" t="s">
        <v>180</v>
      </c>
      <c r="D31" s="11" t="s">
        <v>169</v>
      </c>
      <c r="E31" s="11" t="s">
        <v>181</v>
      </c>
      <c r="F31" s="11" t="s">
        <v>182</v>
      </c>
      <c r="G31" s="11" t="s">
        <v>183</v>
      </c>
      <c r="H31" s="11" t="s">
        <v>40</v>
      </c>
      <c r="I31" s="10" t="s">
        <v>19</v>
      </c>
      <c r="J31" s="10" t="s">
        <v>58</v>
      </c>
    </row>
    <row r="32" customFormat="false" ht="94.5" hidden="false" customHeight="true" outlineLevel="0" collapsed="false">
      <c r="A32" s="9" t="s">
        <v>184</v>
      </c>
      <c r="B32" s="10" t="s">
        <v>160</v>
      </c>
      <c r="C32" s="11" t="s">
        <v>185</v>
      </c>
      <c r="D32" s="11" t="s">
        <v>169</v>
      </c>
      <c r="E32" s="11" t="s">
        <v>186</v>
      </c>
      <c r="F32" s="11" t="s">
        <v>187</v>
      </c>
      <c r="G32" s="11" t="s">
        <v>188</v>
      </c>
      <c r="H32" s="11" t="s">
        <v>189</v>
      </c>
      <c r="I32" s="10" t="s">
        <v>19</v>
      </c>
      <c r="J32" s="10" t="s">
        <v>158</v>
      </c>
    </row>
    <row r="33" customFormat="false" ht="94.5" hidden="false" customHeight="true" outlineLevel="0" collapsed="false">
      <c r="A33" s="9" t="s">
        <v>190</v>
      </c>
      <c r="B33" s="10" t="s">
        <v>160</v>
      </c>
      <c r="C33" s="11" t="s">
        <v>191</v>
      </c>
      <c r="D33" s="11" t="s">
        <v>169</v>
      </c>
      <c r="E33" s="11" t="s">
        <v>192</v>
      </c>
      <c r="F33" s="11" t="s">
        <v>193</v>
      </c>
      <c r="G33" s="11" t="s">
        <v>188</v>
      </c>
      <c r="H33" s="11" t="s">
        <v>189</v>
      </c>
      <c r="I33" s="10" t="s">
        <v>19</v>
      </c>
      <c r="J33" s="10" t="s">
        <v>158</v>
      </c>
    </row>
    <row r="34" customFormat="false" ht="94.5" hidden="false" customHeight="true" outlineLevel="0" collapsed="false">
      <c r="A34" s="9" t="s">
        <v>194</v>
      </c>
      <c r="B34" s="10" t="s">
        <v>160</v>
      </c>
      <c r="C34" s="11" t="s">
        <v>195</v>
      </c>
      <c r="D34" s="11" t="s">
        <v>169</v>
      </c>
      <c r="E34" s="11" t="s">
        <v>196</v>
      </c>
      <c r="F34" s="11" t="s">
        <v>197</v>
      </c>
      <c r="G34" s="11" t="s">
        <v>198</v>
      </c>
      <c r="H34" s="11" t="s">
        <v>40</v>
      </c>
      <c r="I34" s="10" t="s">
        <v>19</v>
      </c>
      <c r="J34" s="10" t="s">
        <v>58</v>
      </c>
    </row>
    <row r="35" customFormat="false" ht="94.5" hidden="false" customHeight="true" outlineLevel="0" collapsed="false">
      <c r="A35" s="9" t="s">
        <v>199</v>
      </c>
      <c r="B35" s="10" t="s">
        <v>160</v>
      </c>
      <c r="C35" s="11" t="s">
        <v>200</v>
      </c>
      <c r="D35" s="11" t="s">
        <v>169</v>
      </c>
      <c r="E35" s="11" t="s">
        <v>201</v>
      </c>
      <c r="F35" s="11" t="s">
        <v>202</v>
      </c>
      <c r="G35" s="11" t="s">
        <v>203</v>
      </c>
      <c r="H35" s="11" t="s">
        <v>204</v>
      </c>
      <c r="I35" s="10" t="s">
        <v>19</v>
      </c>
      <c r="J35" s="10" t="s">
        <v>58</v>
      </c>
    </row>
    <row r="36" customFormat="false" ht="94.5" hidden="false" customHeight="true" outlineLevel="0" collapsed="false">
      <c r="A36" s="9" t="s">
        <v>205</v>
      </c>
      <c r="B36" s="10" t="s">
        <v>160</v>
      </c>
      <c r="C36" s="11" t="s">
        <v>206</v>
      </c>
      <c r="D36" s="11" t="s">
        <v>207</v>
      </c>
      <c r="E36" s="11" t="s">
        <v>208</v>
      </c>
      <c r="F36" s="11" t="s">
        <v>79</v>
      </c>
      <c r="G36" s="11" t="s">
        <v>209</v>
      </c>
      <c r="H36" s="11" t="s">
        <v>210</v>
      </c>
      <c r="I36" s="10" t="s">
        <v>19</v>
      </c>
      <c r="J36" s="10" t="s">
        <v>158</v>
      </c>
    </row>
    <row r="37" customFormat="false" ht="94.5" hidden="false" customHeight="true" outlineLevel="0" collapsed="false">
      <c r="A37" s="12" t="s">
        <v>211</v>
      </c>
      <c r="B37" s="13" t="s">
        <v>212</v>
      </c>
      <c r="C37" s="14" t="s">
        <v>213</v>
      </c>
      <c r="D37" s="14" t="s">
        <v>214</v>
      </c>
      <c r="E37" s="14" t="s">
        <v>215</v>
      </c>
      <c r="F37" s="14" t="s">
        <v>216</v>
      </c>
      <c r="G37" s="14" t="s">
        <v>217</v>
      </c>
      <c r="H37" s="14" t="s">
        <v>218</v>
      </c>
      <c r="I37" s="13" t="s">
        <v>19</v>
      </c>
      <c r="J37" s="13" t="s">
        <v>58</v>
      </c>
    </row>
    <row r="38" customFormat="false" ht="94.5" hidden="false" customHeight="true" outlineLevel="0" collapsed="false">
      <c r="A38" s="12" t="s">
        <v>219</v>
      </c>
      <c r="B38" s="13" t="s">
        <v>212</v>
      </c>
      <c r="C38" s="14" t="s">
        <v>220</v>
      </c>
      <c r="D38" s="14" t="s">
        <v>221</v>
      </c>
      <c r="E38" s="14" t="s">
        <v>222</v>
      </c>
      <c r="F38" s="14" t="s">
        <v>223</v>
      </c>
      <c r="G38" s="14" t="s">
        <v>224</v>
      </c>
      <c r="H38" s="14" t="s">
        <v>225</v>
      </c>
      <c r="I38" s="13" t="s">
        <v>19</v>
      </c>
      <c r="J38" s="13" t="s">
        <v>58</v>
      </c>
    </row>
  </sheetData>
  <autoFilter ref="A3:J38"/>
  <mergeCells count="1">
    <mergeCell ref="A1:J1"/>
  </mergeCells>
  <conditionalFormatting sqref="I4:I38">
    <cfRule type="cellIs" priority="2" operator="equal" aboveAverage="0" equalAverage="0" bottom="0" percent="0" rank="0" text="" dxfId="12">
      <formula>"Passed"</formula>
    </cfRule>
    <cfRule type="cellIs" priority="3" operator="equal" aboveAverage="0" equalAverage="0" bottom="0" percent="0" rank="0" text="" dxfId="13">
      <formula>"Failed"</formula>
    </cfRule>
  </conditionalFormatting>
  <conditionalFormatting sqref="J4:J38">
    <cfRule type="cellIs" priority="4" operator="equal" aboveAverage="0" equalAverage="0" bottom="0" percent="0" rank="0" text="" dxfId="14">
      <formula>"High"</formula>
    </cfRule>
    <cfRule type="cellIs" priority="5" operator="equal" aboveAverage="0" equalAverage="0" bottom="0" percent="0" rank="0" text="" dxfId="15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226</v>
      </c>
      <c r="B1" s="1"/>
    </row>
    <row r="3" customFormat="false" ht="15" hidden="false" customHeight="false" outlineLevel="0" collapsed="false">
      <c r="A3" s="15" t="s">
        <v>227</v>
      </c>
      <c r="B3" s="16" t="n">
        <f aca="false">COUNTA('Test Cases'!A4:A38)</f>
        <v>35</v>
      </c>
    </row>
    <row r="4" customFormat="false" ht="15" hidden="false" customHeight="false" outlineLevel="0" collapsed="false">
      <c r="A4" s="15" t="s">
        <v>19</v>
      </c>
      <c r="B4" s="16" t="n">
        <f aca="false">COUNTIF('Test Cases'!I4:I38,"Passed")</f>
        <v>33</v>
      </c>
    </row>
    <row r="5" customFormat="false" ht="15" hidden="false" customHeight="false" outlineLevel="0" collapsed="false">
      <c r="A5" s="15" t="s">
        <v>108</v>
      </c>
      <c r="B5" s="16" t="n">
        <f aca="false">COUNTIF('Test Cases'!I4:I38,"Failed")</f>
        <v>2</v>
      </c>
    </row>
    <row r="6" customFormat="false" ht="15" hidden="false" customHeight="false" outlineLevel="0" collapsed="false">
      <c r="A6" s="15" t="s">
        <v>228</v>
      </c>
      <c r="B6" s="16" t="n">
        <f aca="false">COUNTIF('Test Cases'!I4:I38,"Blocked")</f>
        <v>0</v>
      </c>
    </row>
    <row r="7" customFormat="false" ht="15" hidden="false" customHeight="false" outlineLevel="0" collapsed="false">
      <c r="A7" s="15" t="s">
        <v>229</v>
      </c>
      <c r="B7" s="16" t="n">
        <f aca="false">COUNTIF('Test Cases'!I4:I38,"Not Executed")</f>
        <v>0</v>
      </c>
    </row>
    <row r="8" customFormat="false" ht="15" hidden="false" customHeight="false" outlineLevel="0" collapsed="false">
      <c r="A8" s="15" t="s">
        <v>230</v>
      </c>
      <c r="B8" s="17" t="n">
        <f aca="false">B4/B3</f>
        <v>0.942857142857143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2026-08-01T12:08:15Z</dcterms:created>
  <dc:creator>openpyxl</dc:creator>
  <dc:description/>
  <dc:language>en-US</dc:language>
  <cp:lastModifiedBy/>
  <dcterms:modified xsi:type="dcterms:W3CDTF">2026-08-01T12:08:15Z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